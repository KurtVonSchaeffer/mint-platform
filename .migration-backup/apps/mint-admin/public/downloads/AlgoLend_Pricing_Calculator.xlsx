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Cost Calculator" sheetId="1" state="visible" r:id="rId1"/>
    <sheet name="Setup Costs" sheetId="2" state="visible" r:id="rId2"/>
    <sheet name="How to 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[RED](#,##0);&quot;-&quot;"/>
    <numFmt numFmtId="165" formatCode="R\ #,##0;[RED](R\ #,##0);&quot;-&quot;"/>
    <numFmt numFmtId="166" formatCode="0.0%;[RED](0.0%);&quot;-&quot;"/>
    <numFmt numFmtId="167" formatCode="#,##0.00;[RED](#,##0.00);&quot;-&quot;"/>
    <numFmt numFmtId="168" formatCode="R\ #,##0.00;[RED](R\ #,##0.00);&quot;-&quot;"/>
  </numFmts>
  <fonts count="15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C4B5FD"/>
      <sz val="10"/>
    </font>
    <font>
      <name val="Arial"/>
      <i val="1"/>
      <color rgb="00A78BFA"/>
      <sz val="8"/>
    </font>
    <font>
      <name val="Arial"/>
      <b val="1"/>
      <color rgb="00FFFFFF"/>
      <sz val="9"/>
    </font>
    <font>
      <name val="Arial"/>
      <color rgb="00000000"/>
      <sz val="10"/>
    </font>
    <font>
      <name val="Arial"/>
      <b val="1"/>
      <color rgb="000000FF"/>
      <sz val="10"/>
    </font>
    <font>
      <name val="Arial"/>
      <i val="1"/>
      <color rgb="009CA3AF"/>
      <sz val="8"/>
    </font>
    <font>
      <name val="Arial"/>
      <b val="1"/>
      <color rgb="001E1B4B"/>
      <sz val="9"/>
    </font>
    <font>
      <name val="Arial"/>
      <b val="1"/>
      <color rgb="00000000"/>
      <sz val="10"/>
    </font>
    <font>
      <name val="Arial"/>
      <color rgb="006B7280"/>
      <sz val="10"/>
    </font>
    <font>
      <name val="Arial"/>
      <color rgb="000000FF"/>
      <sz val="10"/>
    </font>
    <font>
      <name val="Arial"/>
      <i val="1"/>
      <color rgb="006B7280"/>
      <sz val="8"/>
    </font>
    <font>
      <name val="Arial"/>
      <i val="1"/>
      <color rgb="006B7280"/>
      <sz val="9"/>
    </font>
    <font>
      <name val="Arial"/>
      <b val="1"/>
      <color rgb="00FFFFFF"/>
      <sz val="11"/>
    </font>
  </fonts>
  <fills count="13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7C3AED"/>
        <bgColor rgb="007C3AED"/>
      </patternFill>
    </fill>
    <fill>
      <patternFill patternType="solid">
        <fgColor rgb="00EDE9FE"/>
        <bgColor rgb="00EDE9FE"/>
      </patternFill>
    </fill>
    <fill>
      <patternFill patternType="solid">
        <fgColor rgb="00F5F3FF"/>
        <bgColor rgb="00F5F3FF"/>
      </patternFill>
    </fill>
    <fill>
      <patternFill patternType="solid">
        <fgColor rgb="00EFF6FF"/>
        <bgColor rgb="00EFF6FF"/>
      </patternFill>
    </fill>
    <fill>
      <patternFill patternType="solid">
        <fgColor rgb="00ECFDF5"/>
        <bgColor rgb="00ECFDF5"/>
      </patternFill>
    </fill>
    <fill>
      <patternFill patternType="solid">
        <fgColor rgb="00FFF7ED"/>
        <bgColor rgb="00FFF7ED"/>
      </patternFill>
    </fill>
    <fill>
      <patternFill patternType="solid">
        <fgColor rgb="00FFFBEB"/>
        <bgColor rgb="00FFFBEB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  <fill>
      <patternFill patternType="solid">
        <fgColor rgb="007C3AED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7C3AED"/>
      </left>
      <right style="thin">
        <color rgb="007C3AED"/>
      </right>
      <top style="thin">
        <color rgb="007C3AED"/>
      </top>
      <bottom style="thin">
        <color rgb="007C3AED"/>
      </bottom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165" fontId="6" fillId="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0" fontId="8" fillId="4" borderId="2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167" fontId="6" fillId="5" borderId="1" applyAlignment="1" pivotButton="0" quotePrefix="0" xfId="0">
      <alignment horizontal="right" vertical="center"/>
    </xf>
    <xf numFmtId="167" fontId="5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167" fontId="6" fillId="6" borderId="1" applyAlignment="1" pivotButton="0" quotePrefix="0" xfId="0">
      <alignment horizontal="right" vertical="center"/>
    </xf>
    <xf numFmtId="167" fontId="5" fillId="6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right" vertical="center"/>
    </xf>
    <xf numFmtId="165" fontId="5" fillId="6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left" vertical="center"/>
    </xf>
    <xf numFmtId="167" fontId="6" fillId="7" borderId="1" applyAlignment="1" pivotButton="0" quotePrefix="0" xfId="0">
      <alignment horizontal="right" vertical="center"/>
    </xf>
    <xf numFmtId="167" fontId="5" fillId="7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center" vertical="center"/>
    </xf>
    <xf numFmtId="164" fontId="5" fillId="7" borderId="1" applyAlignment="1" pivotButton="0" quotePrefix="0" xfId="0">
      <alignment horizontal="right" vertical="center"/>
    </xf>
    <xf numFmtId="165" fontId="5" fillId="7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left" vertical="center"/>
    </xf>
    <xf numFmtId="167" fontId="6" fillId="8" borderId="1" applyAlignment="1" pivotButton="0" quotePrefix="0" xfId="0">
      <alignment horizontal="right" vertical="center"/>
    </xf>
    <xf numFmtId="167" fontId="5" fillId="8" borderId="1" applyAlignment="1" pivotButton="0" quotePrefix="0" xfId="0">
      <alignment horizontal="right" vertical="center"/>
    </xf>
    <xf numFmtId="0" fontId="6" fillId="8" borderId="1" applyAlignment="1" pivotButton="0" quotePrefix="0" xfId="0">
      <alignment horizontal="center" vertical="center"/>
    </xf>
    <xf numFmtId="164" fontId="5" fillId="8" borderId="1" applyAlignment="1" pivotButton="0" quotePrefix="0" xfId="0">
      <alignment horizontal="right" vertical="center"/>
    </xf>
    <xf numFmtId="165" fontId="5" fillId="8" borderId="1" applyAlignment="1" pivotButton="0" quotePrefix="0" xfId="0">
      <alignment horizontal="right" vertical="center"/>
    </xf>
    <xf numFmtId="0" fontId="5" fillId="9" borderId="1" applyAlignment="1" pivotButton="0" quotePrefix="0" xfId="0">
      <alignment horizontal="left" vertical="center"/>
    </xf>
    <xf numFmtId="167" fontId="6" fillId="9" borderId="1" applyAlignment="1" pivotButton="0" quotePrefix="0" xfId="0">
      <alignment horizontal="right" vertical="center"/>
    </xf>
    <xf numFmtId="167" fontId="5" fillId="9" borderId="1" applyAlignment="1" pivotButton="0" quotePrefix="0" xfId="0">
      <alignment horizontal="right" vertical="center"/>
    </xf>
    <xf numFmtId="0" fontId="6" fillId="9" borderId="1" applyAlignment="1" pivotButton="0" quotePrefix="0" xfId="0">
      <alignment horizontal="center" vertical="center"/>
    </xf>
    <xf numFmtId="164" fontId="5" fillId="9" borderId="1" applyAlignment="1" pivotButton="0" quotePrefix="0" xfId="0">
      <alignment horizontal="right" vertical="center"/>
    </xf>
    <xf numFmtId="165" fontId="5" fillId="9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0" fontId="9" fillId="4" borderId="1" applyAlignment="1" pivotButton="0" quotePrefix="0" xfId="0">
      <alignment horizontal="right" vertical="center"/>
    </xf>
    <xf numFmtId="165" fontId="9" fillId="4" borderId="1" applyAlignment="1" pivotButton="0" quotePrefix="0" xfId="0">
      <alignment horizontal="right" vertical="center"/>
    </xf>
    <xf numFmtId="168" fontId="5" fillId="0" borderId="1" applyAlignment="1" pivotButton="0" quotePrefix="0" xfId="0">
      <alignment horizontal="right" vertical="center"/>
    </xf>
    <xf numFmtId="0" fontId="4" fillId="2" borderId="0" applyAlignment="1" pivotButton="0" quotePrefix="0" xfId="0">
      <alignment horizontal="left" vertical="center"/>
    </xf>
    <xf numFmtId="0" fontId="8" fillId="4" borderId="2" applyAlignment="1" pivotButton="0" quotePrefix="0" xfId="0">
      <alignment horizontal="center" vertical="center"/>
    </xf>
    <xf numFmtId="0" fontId="9" fillId="10" borderId="1" applyAlignment="1" pivotButton="0" quotePrefix="0" xfId="0">
      <alignment horizontal="left" vertical="center"/>
    </xf>
    <xf numFmtId="0" fontId="10" fillId="10" borderId="1" applyAlignment="1" pivotButton="0" quotePrefix="0" xfId="0">
      <alignment horizontal="left" vertical="center"/>
    </xf>
    <xf numFmtId="164" fontId="11" fillId="10" borderId="1" applyAlignment="1" pivotButton="0" quotePrefix="0" xfId="0">
      <alignment horizontal="right" vertical="center"/>
    </xf>
    <xf numFmtId="165" fontId="5" fillId="10" borderId="1" applyAlignment="1" pivotButton="0" quotePrefix="0" xfId="0">
      <alignment horizontal="right" vertical="center"/>
    </xf>
    <xf numFmtId="165" fontId="11" fillId="10" borderId="1" applyAlignment="1" pivotButton="0" quotePrefix="0" xfId="0">
      <alignment horizontal="right" vertical="center"/>
    </xf>
    <xf numFmtId="0" fontId="9" fillId="11" borderId="1" applyAlignment="1" pivotButton="0" quotePrefix="0" xfId="0">
      <alignment horizontal="left" vertical="center"/>
    </xf>
    <xf numFmtId="0" fontId="10" fillId="11" borderId="1" applyAlignment="1" pivotButton="0" quotePrefix="0" xfId="0">
      <alignment horizontal="left" vertical="center"/>
    </xf>
    <xf numFmtId="164" fontId="11" fillId="11" borderId="1" applyAlignment="1" pivotButton="0" quotePrefix="0" xfId="0">
      <alignment horizontal="right" vertical="center"/>
    </xf>
    <xf numFmtId="165" fontId="5" fillId="11" borderId="1" applyAlignment="1" pivotButton="0" quotePrefix="0" xfId="0">
      <alignment horizontal="right" vertical="center"/>
    </xf>
    <xf numFmtId="165" fontId="11" fillId="11" borderId="1" applyAlignment="1" pivotButton="0" quotePrefix="0" xfId="0">
      <alignment horizontal="right" vertical="center"/>
    </xf>
    <xf numFmtId="0" fontId="12" fillId="0" borderId="0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/>
    </xf>
    <xf numFmtId="165" fontId="6" fillId="10" borderId="1" applyAlignment="1" pivotButton="0" quotePrefix="0" xfId="0">
      <alignment horizontal="right" vertical="center"/>
    </xf>
    <xf numFmtId="0" fontId="6" fillId="10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left" vertical="center"/>
    </xf>
    <xf numFmtId="165" fontId="6" fillId="11" borderId="1" applyAlignment="1" pivotButton="0" quotePrefix="0" xfId="0">
      <alignment horizontal="right" vertical="center"/>
    </xf>
    <xf numFmtId="0" fontId="6" fillId="11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left" vertical="center"/>
    </xf>
    <xf numFmtId="0" fontId="14" fillId="12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4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0" customWidth="1" min="4" max="4"/>
    <col width="10" customWidth="1" min="5" max="5"/>
    <col width="16" customWidth="1" min="6" max="6"/>
    <col width="16" customWidth="1" min="7" max="7"/>
  </cols>
  <sheetData>
    <row r="1" ht="4" customHeight="1"/>
    <row r="2" ht="38" customHeight="1">
      <c r="A2" s="1" t="inlineStr">
        <is>
          <t>AlgoLend — Monthly Pricing Calculator</t>
        </is>
      </c>
    </row>
    <row r="3" ht="18" customHeight="1">
      <c r="A3" s="2" t="inlineStr">
        <is>
          <t>Configure services, volume, branches and overheads to estimate monthly billing.</t>
        </is>
      </c>
    </row>
    <row r="4" ht="14" customHeight="1">
      <c r="A4" s="3" t="inlineStr">
        <is>
          <t>Blue cells = inputs you change  |  Black cells = calculated formulas  |  Margin = 38%  |  Package discount = 5%</t>
        </is>
      </c>
    </row>
    <row r="5" ht="6" customHeight="1"/>
    <row r="6" ht="22" customHeight="1">
      <c r="A6" s="4" t="inlineStr">
        <is>
          <t>A — INPUTS</t>
        </is>
      </c>
    </row>
    <row r="7" ht="20" customHeight="1">
      <c r="A7" s="5" t="inlineStr">
        <is>
          <t>Monthly check volume (checks/mo)</t>
        </is>
      </c>
      <c r="B7" s="6" t="n">
        <v>285</v>
      </c>
      <c r="C7" s="7" t="inlineStr">
        <is>
          <t>Number of credit checks per month</t>
        </is>
      </c>
    </row>
    <row r="8" ht="20" customHeight="1">
      <c r="A8" s="5" t="inlineStr">
        <is>
          <t>Number of branches</t>
        </is>
      </c>
      <c r="B8" s="6" t="n">
        <v>2</v>
      </c>
      <c r="C8" s="7" t="inlineStr">
        <is>
          <t>Each branch adds the branch fee below</t>
        </is>
      </c>
    </row>
    <row r="9" ht="20" customHeight="1">
      <c r="A9" s="5" t="inlineStr">
        <is>
          <t>Platform licence fee (R/mo)</t>
        </is>
      </c>
      <c r="B9" s="8" t="n">
        <v>8000</v>
      </c>
      <c r="C9" s="7" t="inlineStr">
        <is>
          <t>Monthly licence — excl. VAT</t>
        </is>
      </c>
    </row>
    <row r="10" ht="20" customHeight="1">
      <c r="A10" s="5" t="inlineStr">
        <is>
          <t>Branch fee per branch (R/mo)</t>
        </is>
      </c>
      <c r="B10" s="8" t="n">
        <v>950</v>
      </c>
      <c r="C10" s="7" t="inlineStr">
        <is>
          <t>Flat fee per branch</t>
        </is>
      </c>
    </row>
    <row r="11" ht="20" customHeight="1">
      <c r="A11" s="5" t="inlineStr">
        <is>
          <t>Provider markup %</t>
        </is>
      </c>
      <c r="B11" s="9" t="n">
        <v>0.38</v>
      </c>
      <c r="C11" s="7" t="inlineStr">
        <is>
          <t>AlgoLend margin on top of provider cost</t>
        </is>
      </c>
    </row>
    <row r="12" ht="20" customHeight="1">
      <c r="A12" s="5" t="inlineStr">
        <is>
          <t>Package discount %</t>
        </is>
      </c>
      <c r="B12" s="9" t="n">
        <v>0.05</v>
      </c>
      <c r="C12" s="7" t="inlineStr">
        <is>
          <t>Volume discount applied after markup</t>
        </is>
      </c>
    </row>
    <row r="13" ht="6" customHeight="1"/>
    <row r="14" ht="22" customHeight="1">
      <c r="A14" s="4" t="inlineStr">
        <is>
          <t>B — SERVICES  (set Include? to Yes / No to add or remove from the bill)</t>
        </is>
      </c>
    </row>
    <row r="15" ht="32" customHeight="1">
      <c r="A15" s="10" t="inlineStr">
        <is>
          <t>Service</t>
        </is>
      </c>
      <c r="B15" s="10" t="inlineStr">
        <is>
          <t>Provider
Cost (R)</t>
        </is>
      </c>
      <c r="C15" s="10" t="inlineStr">
        <is>
          <t>Selling
Price (R)</t>
        </is>
      </c>
      <c r="D15" s="10" t="inlineStr">
        <is>
          <t>Include?</t>
        </is>
      </c>
      <c r="E15" s="10" t="inlineStr">
        <is>
          <t>Checks/mo</t>
        </is>
      </c>
      <c r="F15" s="10" t="inlineStr">
        <is>
          <t>Monthly
Cost (R)</t>
        </is>
      </c>
      <c r="G15" s="10" t="inlineStr">
        <is>
          <t>Annual
Cost (R)</t>
        </is>
      </c>
    </row>
    <row r="16" ht="20" customHeight="1">
      <c r="A16" s="11" t="inlineStr">
        <is>
          <t>CIPC Data: Employment</t>
        </is>
      </c>
      <c r="B16" s="12" t="n">
        <v>2.66</v>
      </c>
      <c r="C16" s="13">
        <f>B16*(1+$B$11)*(1-$B$12)</f>
        <v/>
      </c>
      <c r="D16" s="14" t="inlineStr">
        <is>
          <t>No</t>
        </is>
      </c>
      <c r="E16" s="15">
        <f>IF(D16="Yes",$B$7,0)</f>
        <v/>
      </c>
      <c r="F16" s="16">
        <f>C16*E16</f>
        <v/>
      </c>
      <c r="G16" s="16">
        <f>F16*12</f>
        <v/>
      </c>
    </row>
    <row r="17" ht="20" customHeight="1">
      <c r="A17" s="17" t="inlineStr">
        <is>
          <t>Standard Bureau Enquiry</t>
        </is>
      </c>
      <c r="B17" s="18" t="n">
        <v>6.67</v>
      </c>
      <c r="C17" s="19">
        <f>B17*(1+$B$11)*(1-$B$12)</f>
        <v/>
      </c>
      <c r="D17" s="20" t="inlineStr">
        <is>
          <t>Yes</t>
        </is>
      </c>
      <c r="E17" s="21">
        <f>IF(D17="Yes",$B$7,0)</f>
        <v/>
      </c>
      <c r="F17" s="22">
        <f>C17*E17</f>
        <v/>
      </c>
      <c r="G17" s="22">
        <f>F17*12</f>
        <v/>
      </c>
    </row>
    <row r="18" ht="20" customHeight="1">
      <c r="A18" s="23" t="inlineStr">
        <is>
          <t>Bank Account Linking (TruID)</t>
        </is>
      </c>
      <c r="B18" s="24" t="n">
        <v>8.5</v>
      </c>
      <c r="C18" s="25">
        <f>B18*(1+$B$11)*(1-$B$12)</f>
        <v/>
      </c>
      <c r="D18" s="26" t="inlineStr">
        <is>
          <t>Yes</t>
        </is>
      </c>
      <c r="E18" s="27">
        <f>IF(D18="Yes",$B$7,0)</f>
        <v/>
      </c>
      <c r="F18" s="28">
        <f>C18*E18</f>
        <v/>
      </c>
      <c r="G18" s="28">
        <f>F18*12</f>
        <v/>
      </c>
    </row>
    <row r="19" ht="20" customHeight="1">
      <c r="A19" s="29" t="inlineStr">
        <is>
          <t>Automated Contracts (DocuSeal)</t>
        </is>
      </c>
      <c r="B19" s="30" t="n">
        <v>3.6</v>
      </c>
      <c r="C19" s="31">
        <f>B19*(1+$B$11)*(1-$B$12)</f>
        <v/>
      </c>
      <c r="D19" s="32" t="inlineStr">
        <is>
          <t>No</t>
        </is>
      </c>
      <c r="E19" s="33">
        <f>IF(D19="Yes",$B$7,0)</f>
        <v/>
      </c>
      <c r="F19" s="34">
        <f>C19*E19</f>
        <v/>
      </c>
      <c r="G19" s="34">
        <f>F19*12</f>
        <v/>
      </c>
    </row>
    <row r="20" ht="20" customHeight="1">
      <c r="A20" s="11" t="inlineStr">
        <is>
          <t>Liveness + ID + Phone Verification</t>
        </is>
      </c>
      <c r="B20" s="12" t="n">
        <v>5.4</v>
      </c>
      <c r="C20" s="13">
        <f>B20*(1+$B$11)*(1-$B$12)</f>
        <v/>
      </c>
      <c r="D20" s="14" t="inlineStr">
        <is>
          <t>No</t>
        </is>
      </c>
      <c r="E20" s="15">
        <f>IF(D20="Yes",$B$7,0)</f>
        <v/>
      </c>
      <c r="F20" s="16">
        <f>C20*E20</f>
        <v/>
      </c>
      <c r="G20" s="16">
        <f>F20*12</f>
        <v/>
      </c>
    </row>
    <row r="21" ht="20" customHeight="1">
      <c r="A21" s="11" t="inlineStr">
        <is>
          <t>Liveness + Dept. of Home Affairs</t>
        </is>
      </c>
      <c r="B21" s="12" t="n">
        <v>15.5</v>
      </c>
      <c r="C21" s="13">
        <f>B21*(1+$B$11)*(1-$B$12)</f>
        <v/>
      </c>
      <c r="D21" s="14" t="inlineStr">
        <is>
          <t>Yes</t>
        </is>
      </c>
      <c r="E21" s="15">
        <f>IF(D21="Yes",$B$7,0)</f>
        <v/>
      </c>
      <c r="F21" s="16">
        <f>C21*E21</f>
        <v/>
      </c>
      <c r="G21" s="16">
        <f>F21*12</f>
        <v/>
      </c>
    </row>
    <row r="22" ht="20" customHeight="1">
      <c r="A22" s="35" t="inlineStr">
        <is>
          <t>Watchlist — PEPs &amp; Sanctions</t>
        </is>
      </c>
      <c r="B22" s="36" t="n">
        <v>1.95</v>
      </c>
      <c r="C22" s="37">
        <f>B22*(1+$B$11)*(1-$B$12)</f>
        <v/>
      </c>
      <c r="D22" s="38" t="inlineStr">
        <is>
          <t>Yes</t>
        </is>
      </c>
      <c r="E22" s="39">
        <f>IF(D22="Yes",$B$7,0)</f>
        <v/>
      </c>
      <c r="F22" s="40">
        <f>C22*E22</f>
        <v/>
      </c>
      <c r="G22" s="40">
        <f>F22*12</f>
        <v/>
      </c>
    </row>
    <row r="23" ht="20" customHeight="1">
      <c r="A23" s="11" t="inlineStr">
        <is>
          <t>Address Verification</t>
        </is>
      </c>
      <c r="B23" s="12" t="n">
        <v>1.74</v>
      </c>
      <c r="C23" s="13">
        <f>B23*(1+$B$11)*(1-$B$12)</f>
        <v/>
      </c>
      <c r="D23" s="14" t="inlineStr">
        <is>
          <t>Yes</t>
        </is>
      </c>
      <c r="E23" s="15">
        <f>IF(D23="Yes",$B$7,0)</f>
        <v/>
      </c>
      <c r="F23" s="16">
        <f>C23*E23</f>
        <v/>
      </c>
      <c r="G23" s="16">
        <f>F23*12</f>
        <v/>
      </c>
    </row>
    <row r="24" ht="6" customHeight="1"/>
    <row r="25" ht="22" customHeight="1">
      <c r="A25" s="4" t="inlineStr">
        <is>
          <t>C — MONTHLY BILL SUMMARY</t>
        </is>
      </c>
    </row>
    <row r="26" ht="22" customHeight="1">
      <c r="E26" s="41" t="inlineStr">
        <is>
          <t>Total API check costs</t>
        </is>
      </c>
      <c r="F26" s="42">
        <f>SUM(F16:F23)</f>
        <v/>
      </c>
    </row>
    <row r="27" ht="22" customHeight="1">
      <c r="E27" s="41" t="inlineStr">
        <is>
          <t>Platform licence</t>
        </is>
      </c>
      <c r="F27" s="42">
        <f>$B$9</f>
        <v/>
      </c>
    </row>
    <row r="28" ht="22" customHeight="1">
      <c r="E28" s="41" t="inlineStr">
        <is>
          <t>Branch fees</t>
        </is>
      </c>
      <c r="F28" s="42">
        <f>$B$8*$B$10</f>
        <v/>
      </c>
    </row>
    <row r="29" ht="22" customHeight="1">
      <c r="E29" s="43" t="inlineStr">
        <is>
          <t>TOTAL (excl. VAT)</t>
        </is>
      </c>
      <c r="F29" s="44">
        <f>F26+F27+F28</f>
        <v/>
      </c>
    </row>
    <row r="30" ht="22" customHeight="1">
      <c r="E30" s="41" t="inlineStr">
        <is>
          <t>Annual contract value</t>
        </is>
      </c>
      <c r="F30" s="42">
        <f>F29*12</f>
        <v/>
      </c>
    </row>
    <row r="31" ht="22" customHeight="1">
      <c r="E31" s="41" t="inlineStr">
        <is>
          <t>Blended cost per check</t>
        </is>
      </c>
      <c r="F31" s="45">
        <f>IF($B$7&gt;0,F26/$B$7,0)</f>
        <v/>
      </c>
    </row>
    <row r="32" ht="22" customHeight="1">
      <c r="E32" s="41" t="inlineStr">
        <is>
          <t>VAT (15%)</t>
        </is>
      </c>
      <c r="F32" s="42">
        <f>F29*0.15</f>
        <v/>
      </c>
    </row>
    <row r="33" ht="22" customHeight="1">
      <c r="E33" s="43" t="inlineStr">
        <is>
          <t>TOTAL incl. VAT</t>
        </is>
      </c>
      <c r="F33" s="44">
        <f>F29+F32</f>
        <v/>
      </c>
    </row>
    <row r="34" ht="6" customHeight="1"/>
    <row r="35" ht="22" customHeight="1">
      <c r="A35" s="46" t="inlineStr">
        <is>
          <t>D — RATE CARD (how the bill changes across volume tiers)</t>
        </is>
      </c>
    </row>
    <row r="36" ht="20" customHeight="1">
      <c r="A36" s="47" t="inlineStr">
        <is>
          <t>Tier</t>
        </is>
      </c>
      <c r="B36" s="47" t="inlineStr">
        <is>
          <t>Range</t>
        </is>
      </c>
      <c r="C36" s="47" t="inlineStr">
        <is>
          <t>Rep. Volume</t>
        </is>
      </c>
      <c r="D36" s="47" t="inlineStr">
        <is>
          <t>Check Cost (R)</t>
        </is>
      </c>
      <c r="E36" s="47" t="inlineStr">
        <is>
          <t>Admin Fee (R)</t>
        </is>
      </c>
      <c r="F36" s="47" t="inlineStr">
        <is>
          <t>Total/mo (R)</t>
        </is>
      </c>
      <c r="G36" s="47" t="inlineStr">
        <is>
          <t>Total/yr (R)</t>
        </is>
      </c>
    </row>
    <row r="37" ht="20" customHeight="1">
      <c r="A37" s="48" t="inlineStr">
        <is>
          <t>Starter</t>
        </is>
      </c>
      <c r="B37" s="49" t="inlineStr">
        <is>
          <t>0–50</t>
        </is>
      </c>
      <c r="C37" s="50" t="n">
        <v>25</v>
      </c>
      <c r="D37" s="51">
        <f>(C16*IF(D16="Yes",C37,0))+(C17*IF(D17="Yes",C37,0))+(C18*IF(D18="Yes",C37,0))+(C19*IF(D19="Yes",C37,0))+(C20*IF(D20="Yes",C37,0))+(C21*IF(D21="Yes",C37,0))+(C22*IF(D22="Yes",C37,0))+(C23*IF(D23="Yes",C37,0))</f>
        <v/>
      </c>
      <c r="E37" s="52" t="n">
        <v>8000</v>
      </c>
      <c r="F37" s="51">
        <f>D37+E37+$B$8*$B$10</f>
        <v/>
      </c>
      <c r="G37" s="51">
        <f>F37*12</f>
        <v/>
      </c>
    </row>
    <row r="38" ht="20" customHeight="1">
      <c r="A38" s="53" t="inlineStr">
        <is>
          <t>Medium</t>
        </is>
      </c>
      <c r="B38" s="54" t="inlineStr">
        <is>
          <t>51–150</t>
        </is>
      </c>
      <c r="C38" s="55" t="n">
        <v>100</v>
      </c>
      <c r="D38" s="56">
        <f>(C16*IF(D16="Yes",C38,0))+(C17*IF(D17="Yes",C38,0))+(C18*IF(D18="Yes",C38,0))+(C19*IF(D19="Yes",C38,0))+(C20*IF(D20="Yes",C38,0))+(C21*IF(D21="Yes",C38,0))+(C22*IF(D22="Yes",C38,0))+(C23*IF(D23="Yes",C38,0))</f>
        <v/>
      </c>
      <c r="E38" s="57" t="n">
        <v>8000</v>
      </c>
      <c r="F38" s="56">
        <f>D38+E38+$B$8*$B$10</f>
        <v/>
      </c>
      <c r="G38" s="56">
        <f>F38*12</f>
        <v/>
      </c>
    </row>
    <row r="39" ht="20" customHeight="1">
      <c r="A39" s="48" t="inlineStr">
        <is>
          <t>Scale</t>
        </is>
      </c>
      <c r="B39" s="49" t="inlineStr">
        <is>
          <t>151–300</t>
        </is>
      </c>
      <c r="C39" s="50" t="n">
        <v>285</v>
      </c>
      <c r="D39" s="51">
        <f>(C16*IF(D16="Yes",C39,0))+(C17*IF(D17="Yes",C39,0))+(C18*IF(D18="Yes",C39,0))+(C19*IF(D19="Yes",C39,0))+(C20*IF(D20="Yes",C39,0))+(C21*IF(D21="Yes",C39,0))+(C22*IF(D22="Yes",C39,0))+(C23*IF(D23="Yes",C39,0))</f>
        <v/>
      </c>
      <c r="E39" s="52" t="n">
        <v>8000</v>
      </c>
      <c r="F39" s="51">
        <f>D39+E39+$B$8*$B$10</f>
        <v/>
      </c>
      <c r="G39" s="51">
        <f>F39*12</f>
        <v/>
      </c>
    </row>
    <row r="40" ht="20" customHeight="1">
      <c r="A40" s="53" t="inlineStr">
        <is>
          <t>Growth</t>
        </is>
      </c>
      <c r="B40" s="54" t="inlineStr">
        <is>
          <t>301–500</t>
        </is>
      </c>
      <c r="C40" s="55" t="n">
        <v>400</v>
      </c>
      <c r="D40" s="56">
        <f>(C16*IF(D16="Yes",C40,0))+(C17*IF(D17="Yes",C40,0))+(C18*IF(D18="Yes",C40,0))+(C19*IF(D19="Yes",C40,0))+(C20*IF(D20="Yes",C40,0))+(C21*IF(D21="Yes",C40,0))+(C22*IF(D22="Yes",C40,0))+(C23*IF(D23="Yes",C40,0))</f>
        <v/>
      </c>
      <c r="E40" s="57" t="n">
        <v>15000</v>
      </c>
      <c r="F40" s="56">
        <f>D40+E40+$B$8*$B$10</f>
        <v/>
      </c>
      <c r="G40" s="56">
        <f>F40*12</f>
        <v/>
      </c>
    </row>
    <row r="41" ht="20" customHeight="1">
      <c r="A41" s="48" t="inlineStr">
        <is>
          <t>Enterprise</t>
        </is>
      </c>
      <c r="B41" s="49" t="inlineStr">
        <is>
          <t>500+</t>
        </is>
      </c>
      <c r="C41" s="50" t="n">
        <v>600</v>
      </c>
      <c r="D41" s="51">
        <f>(C16*IF(D16="Yes",C41,0))+(C17*IF(D17="Yes",C41,0))+(C18*IF(D18="Yes",C41,0))+(C19*IF(D19="Yes",C41,0))+(C20*IF(D20="Yes",C41,0))+(C21*IF(D21="Yes",C41,0))+(C22*IF(D22="Yes",C41,0))+(C23*IF(D23="Yes",C41,0))</f>
        <v/>
      </c>
      <c r="E41" s="52" t="n">
        <v>20000</v>
      </c>
      <c r="F41" s="51">
        <f>D41+E41+$B$8*$B$10</f>
        <v/>
      </c>
      <c r="G41" s="51">
        <f>F41*12</f>
        <v/>
      </c>
    </row>
    <row r="43" ht="36" customHeight="1">
      <c r="A43" s="58" t="inlineStr">
        <is>
          <t>Notes: All prices excl. VAT (15%). Provider costs are AlgoLend partner rates — do not share with clients. Selling price = Provider cost × (1 + markup%) × (1 − package discount%). Platform licence and branch fees are fixed monthly charges independent of check volume.</t>
        </is>
      </c>
    </row>
  </sheetData>
  <mergeCells count="8">
    <mergeCell ref="A14:G14"/>
    <mergeCell ref="A3:G3"/>
    <mergeCell ref="A6:G6"/>
    <mergeCell ref="A35:G35"/>
    <mergeCell ref="A4:G4"/>
    <mergeCell ref="A2:G2"/>
    <mergeCell ref="A25:G25"/>
    <mergeCell ref="A43:G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D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1" customWidth="1" min="3" max="3"/>
    <col width="30" customWidth="1" min="4" max="4"/>
  </cols>
  <sheetData>
    <row r="1" ht="4" customHeight="1"/>
    <row r="2" ht="38" customHeight="1">
      <c r="A2" s="1" t="inlineStr">
        <is>
          <t>AlgoLend — Setup &amp; Onboarding Costs</t>
        </is>
      </c>
    </row>
    <row r="3" ht="18" customHeight="1">
      <c r="A3" s="2" t="inlineStr">
        <is>
          <t>One-time costs for new client implementation. Update amounts as quoted.</t>
        </is>
      </c>
    </row>
    <row r="5" ht="22" customHeight="1">
      <c r="A5" s="4" t="inlineStr">
        <is>
          <t>IMPLEMENTATION ITEMS</t>
        </is>
      </c>
    </row>
    <row r="6" ht="20" customHeight="1">
      <c r="A6" s="47" t="inlineStr">
        <is>
          <t>Item</t>
        </is>
      </c>
      <c r="B6" s="47" t="inlineStr">
        <is>
          <t>Quoted (R)</t>
        </is>
      </c>
      <c r="C6" s="47" t="inlineStr">
        <is>
          <t>Include?</t>
        </is>
      </c>
      <c r="D6" s="47" t="inlineStr">
        <is>
          <t>Notes</t>
        </is>
      </c>
    </row>
    <row r="7" ht="20" customHeight="1">
      <c r="A7" s="59" t="inlineStr">
        <is>
          <t>Platform implementation &amp; configuration</t>
        </is>
      </c>
      <c r="B7" s="60" t="n">
        <v>15000</v>
      </c>
      <c r="C7" s="61" t="inlineStr">
        <is>
          <t>Yes</t>
        </is>
      </c>
      <c r="D7" s="62" t="inlineStr">
        <is>
          <t>Initial setup, branding, environment config</t>
        </is>
      </c>
    </row>
    <row r="8" ht="20" customHeight="1">
      <c r="A8" s="63" t="inlineStr">
        <is>
          <t>Supabase database provisioning</t>
        </is>
      </c>
      <c r="B8" s="64" t="n">
        <v>5000</v>
      </c>
      <c r="C8" s="65" t="inlineStr">
        <is>
          <t>Yes</t>
        </is>
      </c>
      <c r="D8" s="66" t="inlineStr">
        <is>
          <t>Dedicated database per client</t>
        </is>
      </c>
    </row>
    <row r="9" ht="20" customHeight="1">
      <c r="A9" s="59" t="inlineStr">
        <is>
          <t>Vercel deployment &amp; domain setup</t>
        </is>
      </c>
      <c r="B9" s="60" t="n">
        <v>3500</v>
      </c>
      <c r="C9" s="61" t="inlineStr">
        <is>
          <t>Yes</t>
        </is>
      </c>
      <c r="D9" s="62" t="inlineStr">
        <is>
          <t>Hosting + SSL certificate</t>
        </is>
      </c>
    </row>
    <row r="10" ht="20" customHeight="1">
      <c r="A10" s="63" t="inlineStr">
        <is>
          <t>API integration &amp; testing</t>
        </is>
      </c>
      <c r="B10" s="64" t="n">
        <v>8000</v>
      </c>
      <c r="C10" s="65" t="inlineStr">
        <is>
          <t>Yes</t>
        </is>
      </c>
      <c r="D10" s="66" t="inlineStr">
        <is>
          <t>Webhooks, provider connections, smoke tests</t>
        </is>
      </c>
    </row>
    <row r="11" ht="20" customHeight="1">
      <c r="A11" s="59" t="inlineStr">
        <is>
          <t>Borrower portal customisation</t>
        </is>
      </c>
      <c r="B11" s="60" t="n">
        <v>5000</v>
      </c>
      <c r="C11" s="61" t="inlineStr">
        <is>
          <t>No</t>
        </is>
      </c>
      <c r="D11" s="62" t="inlineStr">
        <is>
          <t>White-label theme — optional add-on</t>
        </is>
      </c>
    </row>
    <row r="12" ht="20" customHeight="1">
      <c r="A12" s="63" t="inlineStr">
        <is>
          <t>Staff training (per session)</t>
        </is>
      </c>
      <c r="B12" s="64" t="n">
        <v>2500</v>
      </c>
      <c r="C12" s="65" t="inlineStr">
        <is>
          <t>No</t>
        </is>
      </c>
      <c r="D12" s="66" t="inlineStr">
        <is>
          <t>On-site or virtual — 2-hour session</t>
        </is>
      </c>
    </row>
    <row r="13" ht="20" customHeight="1">
      <c r="A13" s="59" t="inlineStr">
        <is>
          <t>NCR compliance review</t>
        </is>
      </c>
      <c r="B13" s="60" t="n">
        <v>4500</v>
      </c>
      <c r="C13" s="61" t="inlineStr">
        <is>
          <t>No</t>
        </is>
      </c>
      <c r="D13" s="62" t="inlineStr">
        <is>
          <t>External compliance officer fee</t>
        </is>
      </c>
    </row>
    <row r="15" ht="22" customHeight="1">
      <c r="A15" s="67" t="inlineStr">
        <is>
          <t>TOTAL SETUP COST (included items)</t>
        </is>
      </c>
      <c r="B15" s="44">
        <f>IF(C7="Yes",B7,0)+IF(C8="Yes",B8,0)+IF(C9="Yes",B9,0)+IF(C10="Yes",B10,0)+IF(C11="Yes",B11,0)+IF(C12="Yes",B12,0)+IF(C13="Yes",B13,0)</f>
        <v/>
      </c>
    </row>
    <row r="16" ht="20" customHeight="1">
      <c r="A16" s="5" t="inlineStr">
        <is>
          <t>VAT (15%)</t>
        </is>
      </c>
      <c r="B16" s="42">
        <f>B15*0.15</f>
        <v/>
      </c>
    </row>
    <row r="17" ht="22" customHeight="1">
      <c r="A17" s="67" t="inlineStr">
        <is>
          <t>TOTAL incl. VAT</t>
        </is>
      </c>
      <c r="B17" s="44">
        <f>B15+B16</f>
        <v/>
      </c>
    </row>
  </sheetData>
  <mergeCells count="3">
    <mergeCell ref="A5:D5"/>
    <mergeCell ref="A3:D3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B31"/>
  <sheetViews>
    <sheetView showGridLines="0" workbookViewId="0">
      <selection activeCell="A1" sqref="A1"/>
    </sheetView>
  </sheetViews>
  <sheetFormatPr baseColWidth="8" defaultRowHeight="15"/>
  <cols>
    <col width="72" customWidth="1" min="1" max="1"/>
    <col width="20" customWidth="1" min="2" max="2"/>
  </cols>
  <sheetData>
    <row r="1" ht="4" customHeight="1"/>
    <row r="2" ht="38" customHeight="1">
      <c r="A2" s="1" t="inlineStr">
        <is>
          <t>How to use this pricing model</t>
        </is>
      </c>
    </row>
    <row r="3" ht="18" customHeight="1">
      <c r="A3" s="2" t="inlineStr">
        <is>
          <t>AlgoLend pricing calculator — step-by-step guide for sales and finance teams.</t>
        </is>
      </c>
    </row>
    <row r="6" ht="28" customHeight="1">
      <c r="A6" s="68" t="inlineStr">
        <is>
          <t>STEP 1 — Monthly Cost Calculator</t>
        </is>
      </c>
    </row>
    <row r="7" ht="18" customHeight="1">
      <c r="A7" s="69" t="inlineStr">
        <is>
          <t xml:space="preserve">  • Go to the 'Monthly Cost Calculator' sheet.</t>
        </is>
      </c>
    </row>
    <row r="8" ht="18" customHeight="1">
      <c r="A8" s="69" t="inlineStr">
        <is>
          <t xml:space="preserve">  • In Section A (Inputs), enter the client's expected monthly check volume in cell B7.</t>
        </is>
      </c>
    </row>
    <row r="9" ht="18" customHeight="1">
      <c r="A9" s="69" t="inlineStr">
        <is>
          <t xml:space="preserve">  • Enter the number of branches (B8), platform licence fee (B9), and branch fee (B10).</t>
        </is>
      </c>
    </row>
    <row r="10" ht="18" customHeight="1">
      <c r="A10" s="69" t="inlineStr">
        <is>
          <t xml:space="preserve">  • Leave markup (B11 = 38%) and discount (B12 = 5%) unless instructed otherwise.</t>
        </is>
      </c>
    </row>
    <row r="12" ht="28" customHeight="1">
      <c r="A12" s="68" t="inlineStr">
        <is>
          <t>STEP 2 — Select Services</t>
        </is>
      </c>
    </row>
    <row r="13" ht="18" customHeight="1">
      <c r="A13" s="69" t="inlineStr">
        <is>
          <t xml:space="preserve">  • In Section B (Services), set column D to 'Yes' or 'No' for each service.</t>
        </is>
      </c>
    </row>
    <row r="14" ht="18" customHeight="1">
      <c r="A14" s="69" t="inlineStr">
        <is>
          <t xml:space="preserve">  • Monthly cost (column F) and annual cost (column G) update automatically.</t>
        </is>
      </c>
    </row>
    <row r="15" ht="18" customHeight="1">
      <c r="A15" s="69" t="inlineStr">
        <is>
          <t xml:space="preserve">  • Provider costs in column B are our raw rates — do not share with clients.</t>
        </is>
      </c>
    </row>
    <row r="16" ht="18" customHeight="1">
      <c r="A16" s="69" t="inlineStr">
        <is>
          <t xml:space="preserve">  • Selling prices in column C (with margin applied) are what clients are billed.</t>
        </is>
      </c>
    </row>
    <row r="18" ht="28" customHeight="1">
      <c r="A18" s="68" t="inlineStr">
        <is>
          <t>STEP 3 — Read the Summary</t>
        </is>
      </c>
    </row>
    <row r="19" ht="18" customHeight="1">
      <c r="A19" s="69" t="inlineStr">
        <is>
          <t xml:space="preserve">  • Section C shows the total monthly bill, annual contract value, and per-check rate.</t>
        </is>
      </c>
    </row>
    <row r="20" ht="18" customHeight="1">
      <c r="A20" s="69" t="inlineStr">
        <is>
          <t xml:space="preserve">  • VAT at 15% is calculated separately — quote the pre-VAT total unless asked.</t>
        </is>
      </c>
    </row>
    <row r="21" ht="18" customHeight="1">
      <c r="A21" s="69" t="inlineStr">
        <is>
          <t xml:space="preserve">  • Section D shows how the bill changes across all five volume tiers for comparison.</t>
        </is>
      </c>
    </row>
    <row r="23" ht="28" customHeight="1">
      <c r="A23" s="68" t="inlineStr">
        <is>
          <t>STEP 4 — Setup Costs</t>
        </is>
      </c>
    </row>
    <row r="24" ht="18" customHeight="1">
      <c r="A24" s="69" t="inlineStr">
        <is>
          <t xml:space="preserve">  • Switch to the 'Setup Costs' sheet for one-time onboarding fees.</t>
        </is>
      </c>
    </row>
    <row r="25" ht="18" customHeight="1">
      <c r="A25" s="69" t="inlineStr">
        <is>
          <t xml:space="preserve">  • Set column C to 'Yes' for items included in this client's implementation.</t>
        </is>
      </c>
    </row>
    <row r="26" ht="18" customHeight="1">
      <c r="A26" s="69" t="inlineStr">
        <is>
          <t xml:space="preserve">  • The total updates automatically. Add setup costs to the first invoice only.</t>
        </is>
      </c>
    </row>
    <row r="28" ht="28" customHeight="1">
      <c r="A28" s="68" t="inlineStr">
        <is>
          <t>COLOUR CODING</t>
        </is>
      </c>
    </row>
    <row r="29" ht="18" customHeight="1">
      <c r="A29" s="69" t="inlineStr">
        <is>
          <t xml:space="preserve">  • Blue text = hardcoded inputs (cells you change for each client).</t>
        </is>
      </c>
    </row>
    <row r="30" ht="18" customHeight="1">
      <c r="A30" s="69" t="inlineStr">
        <is>
          <t xml:space="preserve">  • Black text = calculated formulas (do not overwrite these).</t>
        </is>
      </c>
    </row>
    <row r="31" ht="18" customHeight="1">
      <c r="A31" s="69" t="inlineStr">
        <is>
          <t xml:space="preserve">  • Grey italic text = notes and context only.</t>
        </is>
      </c>
    </row>
  </sheetData>
  <mergeCells count="7">
    <mergeCell ref="A2:B2"/>
    <mergeCell ref="A28:B28"/>
    <mergeCell ref="A23:B23"/>
    <mergeCell ref="A18:B18"/>
    <mergeCell ref="A3:B3"/>
    <mergeCell ref="A6:B6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2026-06-17T12:36:04Z</dcterms:created>
  <dcterms:modified xsi:type="dcterms:W3CDTF">2026-06-17T12:36:04Z</dcterms:modified>
</cp:coreProperties>
</file>